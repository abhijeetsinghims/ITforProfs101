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workbookPr filterPrivacy="1"/>
  <xr:revisionPtr revIDLastSave="0" documentId="13_ncr:1_{BE851646-5F25-495D-8DB8-72A3C4518413}" xr6:coauthVersionLast="38" xr6:coauthVersionMax="38" xr10:uidLastSave="{00000000-0000-0000-0000-000000000000}"/>
  <bookViews>
    <workbookView xWindow="0" yWindow="0" windowWidth="23040" windowHeight="8628" xr2:uid="{00000000-000D-0000-FFFF-FFFF00000000}"/>
  </bookViews>
  <sheets>
    <sheet name="HOW TO USE THIS WORKBOOK" sheetId="3" r:id="rId1"/>
    <sheet name="GRADE BOOK" sheetId="1" r:id="rId2"/>
  </sheets>
  <definedNames>
    <definedName name="GradeTable">'GRADE BOOK'!$H$3:$T$5</definedName>
    <definedName name="RowTitleRegion1..T5">'GRADE BOOK'!$G$3</definedName>
    <definedName name="RowTitleRegion2..W8">'GRADE BOOK'!$E$7</definedName>
    <definedName name="Title1">Grades[[#Headers],[Student Name]]</definedName>
    <definedName name="TitleRegion1..F20">'GRADE BOOK'!$B$17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9" i="1" l="1"/>
  <c r="D11" i="1" l="1"/>
  <c r="F11" i="1" l="1"/>
  <c r="E11" i="1"/>
  <c r="D12" i="1" l="1"/>
  <c r="D13" i="1"/>
  <c r="D14" i="1"/>
  <c r="D15" i="1"/>
  <c r="E15" i="1" l="1"/>
  <c r="F15" i="1"/>
  <c r="E14" i="1"/>
  <c r="F14" i="1"/>
  <c r="E12" i="1"/>
  <c r="F12" i="1"/>
  <c r="E13" i="1"/>
  <c r="F13" i="1"/>
  <c r="D18" i="1"/>
  <c r="E18" i="1" s="1"/>
  <c r="D19" i="1"/>
  <c r="E19" i="1" s="1"/>
  <c r="D20" i="1"/>
  <c r="E20" i="1" s="1"/>
  <c r="F18" i="1" l="1"/>
  <c r="F20" i="1"/>
  <c r="F19" i="1"/>
</calcChain>
</file>

<file path=xl/sharedStrings.xml><?xml version="1.0" encoding="utf-8"?>
<sst xmlns="http://schemas.openxmlformats.org/spreadsheetml/2006/main" count="123" uniqueCount="56">
  <si>
    <t>Score</t>
  </si>
  <si>
    <t>Ltr Grade</t>
  </si>
  <si>
    <t>F</t>
  </si>
  <si>
    <t>D-</t>
  </si>
  <si>
    <t>D</t>
  </si>
  <si>
    <t>D+</t>
  </si>
  <si>
    <t>C-</t>
  </si>
  <si>
    <t>C</t>
  </si>
  <si>
    <t>C+</t>
  </si>
  <si>
    <t>B-</t>
  </si>
  <si>
    <t>B</t>
  </si>
  <si>
    <t>B+</t>
  </si>
  <si>
    <t>A-</t>
  </si>
  <si>
    <t>A</t>
  </si>
  <si>
    <t>A+</t>
  </si>
  <si>
    <t>GPA</t>
  </si>
  <si>
    <t>Assignment or Test Name</t>
  </si>
  <si>
    <t>Student Name</t>
  </si>
  <si>
    <t>Student ID</t>
  </si>
  <si>
    <t/>
  </si>
  <si>
    <t>Class Summary</t>
  </si>
  <si>
    <t xml:space="preserve"> Average</t>
  </si>
  <si>
    <t xml:space="preserve"> Highest Score</t>
  </si>
  <si>
    <t xml:space="preserve"> Lowest Score</t>
  </si>
  <si>
    <t>Percentage (should total 100%)</t>
  </si>
  <si>
    <t>YOUR SCHOOL NAME</t>
  </si>
  <si>
    <t>Teacher Name</t>
  </si>
  <si>
    <t>Class/Project</t>
  </si>
  <si>
    <t>Year/Semester/Quarter</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</si>
  <si>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</si>
  <si>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</si>
  <si>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</si>
  <si>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</si>
  <si>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</si>
  <si>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</si>
  <si>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</si>
  <si>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</si>
  <si>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</si>
  <si>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</si>
  <si>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</si>
  <si>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</si>
  <si>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</si>
  <si>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</si>
  <si>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</si>
  <si>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</si>
  <si>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</si>
  <si>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 xml:space="preserve">1. Fill in your school name, class info, student names, and student IDs (optional).   </t>
  </si>
  <si>
    <t>2. Adjust the Grade &amp; GPA table to match the typical scoring system you use.</t>
  </si>
  <si>
    <t xml:space="preserve">3. Fill in the assignment or test names starting in cell G7, along with the percentage that each is worth (e.g. "Final" and "50%"). </t>
  </si>
  <si>
    <t>4. Fill in the scores for each student on each assignment or test. The "Score", "Ltr Grade" and "GPA" columns are automatically calculated, but you can override them if you wish. The way the grades are computed, the average and final grade are incomplete until all scores are in.</t>
  </si>
  <si>
    <t xml:space="preserve">Score, Ltr Grade and GPA are not valid until 100% of tests &amp; assignments are complete. </t>
  </si>
  <si>
    <t>INSTRUCTIONS</t>
  </si>
  <si>
    <r>
      <t>Use GRADE BOOK worksheet to calculate grades where each assignment is worth a set number of points.</t>
    </r>
    <r>
      <rPr>
        <sz val="10"/>
        <color rgb="FF000000"/>
        <rFont val="Segoe UI"/>
        <family val="2"/>
      </rPr>
      <t xml:space="preserve"> </t>
    </r>
  </si>
  <si>
    <r>
      <rPr>
        <b/>
        <sz val="11"/>
        <rFont val="Century Gothic"/>
        <family val="2"/>
        <scheme val="minor"/>
      </rPr>
      <t xml:space="preserve">Instructions:  </t>
    </r>
    <r>
      <rPr>
        <sz val="11"/>
        <rFont val="Century Gothic"/>
        <family val="2"/>
        <scheme val="minor"/>
      </rPr>
      <t xml:space="preserve"> </t>
    </r>
    <r>
      <rPr>
        <sz val="11"/>
        <color theme="6" tint="-0.249977111117893"/>
        <rFont val="Century Gothic"/>
        <family val="2"/>
        <scheme val="minor"/>
      </rPr>
      <t>Be sure to save backup copies of your grades.</t>
    </r>
  </si>
  <si>
    <t>Enter each assignment or test and its percentage of the total grade in cells G7 TO W8.</t>
  </si>
  <si>
    <t>Use the "Print Area" command on the Page Layout menu if you want to change what area prints.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</si>
</sst>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quot;₹&quot;\ * #,##0_ ;_ &quot;₹&quot;\ * \-#,##0_ ;_ &quot;₹&quot;\ * &quot;-&quot;_ ;_ @_ "/>
    <numFmt numFmtId="165" formatCode="_ * #,##0_ ;_ * \-#,##0_ ;_ * &quot;-&quot;_ ;_ @_ "/>
    <numFmt numFmtId="166" formatCode="_ &quot;₹&quot;\ * #,##0.00_ ;_ &quot;₹&quot;\ * \-#,##0.00_ ;_ &quot;₹&quot;\ * &quot;-&quot;??_ ;_ @_ "/>
    <numFmt numFmtId="167" formatCode="_ * #,##0.00_ ;_ * \-#,##0.00_ ;_ * &quot;-&quot;??_ ;_ @_ "/>
    <numFmt numFmtId="168" formatCode="0.0%"/>
  </numFmts>
  <fonts count="13" x14ac:knownFonts="1">
    <font>
      <sz val="11"/>
      <name val="Century Gothic"/>
      <family val="2"/>
      <scheme val="minor"/>
    </font>
    <font>
      <sz val="11"/>
      <color theme="1"/>
      <name val="Century Gothic"/>
      <family val="2"/>
      <scheme val="minor"/>
    </font>
    <font>
      <sz val="11"/>
      <color theme="1"/>
      <name val="Century Gothic"/>
      <family val="2"/>
      <scheme val="minor"/>
    </font>
    <font>
      <sz val="20"/>
      <color theme="4" tint="-0.499984740745262"/>
      <name val="Corbel"/>
      <family val="2"/>
      <scheme val="major"/>
    </font>
    <font>
      <sz val="14"/>
      <color theme="3"/>
      <name val="Corbel"/>
      <family val="2"/>
      <scheme val="major"/>
    </font>
    <font>
      <b/>
      <sz val="11"/>
      <color theme="3"/>
      <name val="Century Gothic"/>
      <family val="2"/>
      <scheme val="minor"/>
    </font>
    <font>
      <b/>
      <sz val="11"/>
      <color theme="0"/>
      <name val="Century Gothic"/>
      <family val="2"/>
      <scheme val="minor"/>
    </font>
    <font>
      <sz val="11"/>
      <name val="Century Gothic"/>
      <family val="2"/>
      <scheme val="minor"/>
    </font>
    <font>
      <i/>
      <sz val="11"/>
      <color theme="1" tint="0.34998626667073579"/>
      <name val="Century Gothic"/>
      <family val="2"/>
      <scheme val="minor"/>
    </font>
    <font>
      <sz val="11"/>
      <color theme="4" tint="-0.249977111117893"/>
      <name val="Century Gothic"/>
      <family val="2"/>
      <scheme val="minor"/>
    </font>
    <font>
      <b/>
      <sz val="11"/>
      <name val="Century Gothic"/>
      <family val="2"/>
      <scheme val="minor"/>
    </font>
    <font>
      <sz val="10"/>
      <color rgb="FF000000"/>
      <name val="Segoe UI"/>
      <family val="2"/>
    </font>
    <font>
      <sz val="11"/>
      <color theme="6" tint="-0.249977111117893"/>
      <name val="Century Gothic"/>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FFCC"/>
      </patternFill>
    </fill>
  </fills>
  <borders count="11">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4"/>
      </top>
      <bottom/>
      <diagonal/>
    </border>
    <border>
      <left/>
      <right/>
      <top/>
      <bottom style="thin">
        <color theme="4"/>
      </bottom>
      <diagonal/>
    </border>
    <border>
      <left/>
      <right/>
      <top style="thin">
        <color theme="4" tint="0.39997558519241921"/>
      </top>
      <bottom/>
      <diagonal/>
    </border>
    <border>
      <left style="thin">
        <color theme="4" tint="0.39994506668294322"/>
      </left>
      <right/>
      <top style="thin">
        <color theme="4" tint="0.39997558519241921"/>
      </top>
      <bottom style="thin">
        <color theme="4" tint="0.39997558519241921"/>
      </bottom>
      <diagonal/>
    </border>
    <border>
      <left style="thin">
        <color theme="4" tint="0.39994506668294322"/>
      </left>
      <right/>
      <top style="thin">
        <color theme="4" tint="0.39997558519241921"/>
      </top>
      <bottom/>
      <diagonal/>
    </border>
    <border>
      <left/>
      <right/>
      <top/>
      <bottom style="thin">
        <color theme="4" tint="-0.49998474074526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s>
  <cellStyleXfs count="12">
    <xf numFmtId="0" fontId="0" fillId="0" borderId="0">
      <alignment wrapText="1"/>
    </xf>
    <xf numFmtId="0" fontId="3" fillId="0" borderId="8" applyNumberFormat="0" applyFill="0" applyProtection="0">
      <alignment horizontal="left"/>
    </xf>
    <xf numFmtId="0" fontId="4" fillId="0" borderId="0" applyNumberFormat="0" applyFill="0" applyProtection="0">
      <alignment horizontal="left"/>
    </xf>
    <xf numFmtId="167" fontId="7" fillId="0" borderId="0" applyFill="0" applyBorder="0" applyAlignment="0" applyProtection="0"/>
    <xf numFmtId="165" fontId="7" fillId="0" borderId="0" applyFill="0" applyBorder="0" applyAlignment="0" applyProtection="0"/>
    <xf numFmtId="166" fontId="7" fillId="0" borderId="0" applyFill="0" applyBorder="0" applyAlignment="0" applyProtection="0"/>
    <xf numFmtId="164" fontId="7" fillId="0" borderId="0" applyFill="0" applyBorder="0" applyAlignment="0" applyProtection="0"/>
    <xf numFmtId="9" fontId="7" fillId="0" borderId="0" applyFill="0" applyBorder="0" applyAlignment="0" applyProtection="0"/>
    <xf numFmtId="0" fontId="5" fillId="0" borderId="10" applyNumberFormat="0" applyFill="0" applyAlignment="0" applyProtection="0"/>
    <xf numFmtId="0" fontId="7" fillId="4" borderId="9" applyNumberFormat="0" applyAlignment="0" applyProtection="0"/>
    <xf numFmtId="0" fontId="8" fillId="0" borderId="0" applyNumberFormat="0" applyFill="0" applyBorder="0" applyAlignment="0" applyProtection="0"/>
    <xf numFmtId="0" fontId="5" fillId="0" borderId="0" applyNumberFormat="0" applyFill="0" applyBorder="0" applyAlignment="0" applyProtection="0"/>
  </cellStyleXfs>
  <cellXfs count="38">
    <xf numFmtId="0" fontId="0" fillId="0" borderId="0" xfId="0">
      <alignment wrapText="1"/>
    </xf>
    <xf numFmtId="0" fontId="3" fillId="0" borderId="8" xfId="1">
      <alignment horizontal="left"/>
    </xf>
    <xf numFmtId="0" fontId="9" fillId="3" borderId="3" xfId="0" applyFont="1" applyFill="1" applyBorder="1">
      <alignment wrapText="1"/>
    </xf>
    <xf numFmtId="9" fontId="9" fillId="3" borderId="3" xfId="0" applyNumberFormat="1" applyFont="1" applyFill="1" applyBorder="1" applyAlignment="1">
      <alignment horizontal="left"/>
    </xf>
    <xf numFmtId="0" fontId="9" fillId="0" borderId="0" xfId="0" applyFont="1">
      <alignment wrapText="1"/>
    </xf>
    <xf numFmtId="0" fontId="9" fillId="0" borderId="0" xfId="0" applyFont="1" applyAlignment="1">
      <alignment horizontal="left"/>
    </xf>
    <xf numFmtId="0" fontId="9" fillId="3" borderId="4" xfId="0" applyFont="1" applyFill="1" applyBorder="1">
      <alignment wrapText="1"/>
    </xf>
    <xf numFmtId="0" fontId="9" fillId="3" borderId="4" xfId="0" applyFont="1" applyFill="1" applyBorder="1" applyAlignment="1">
      <alignment horizontal="left"/>
    </xf>
    <xf numFmtId="0" fontId="2" fillId="3" borderId="2" xfId="0" applyFont="1" applyFill="1" applyBorder="1">
      <alignment wrapText="1"/>
    </xf>
    <xf numFmtId="168" fontId="2" fillId="3" borderId="2" xfId="0" applyNumberFormat="1" applyFont="1" applyFill="1" applyBorder="1">
      <alignment wrapText="1"/>
    </xf>
    <xf numFmtId="0" fontId="0" fillId="0" borderId="0" xfId="0" applyFont="1">
      <alignment wrapText="1"/>
    </xf>
    <xf numFmtId="0" fontId="6" fillId="2" borderId="2" xfId="0" applyFont="1" applyFill="1" applyBorder="1">
      <alignment wrapText="1"/>
    </xf>
    <xf numFmtId="0" fontId="6" fillId="2" borderId="6" xfId="0" applyFont="1" applyFill="1" applyBorder="1">
      <alignment wrapText="1"/>
    </xf>
    <xf numFmtId="0" fontId="2" fillId="3" borderId="5" xfId="0" applyFont="1" applyFill="1" applyBorder="1">
      <alignment wrapText="1"/>
    </xf>
    <xf numFmtId="168" fontId="2" fillId="0" borderId="6" xfId="0" applyNumberFormat="1" applyFont="1" applyBorder="1">
      <alignment wrapText="1"/>
    </xf>
    <xf numFmtId="168" fontId="2" fillId="3" borderId="5" xfId="0" applyNumberFormat="1" applyFont="1" applyFill="1" applyBorder="1">
      <alignment wrapText="1"/>
    </xf>
    <xf numFmtId="0" fontId="2" fillId="0" borderId="2" xfId="0" applyFont="1" applyBorder="1">
      <alignment wrapText="1"/>
    </xf>
    <xf numFmtId="168" fontId="2" fillId="0" borderId="2" xfId="0" applyNumberFormat="1" applyFont="1" applyBorder="1">
      <alignment wrapText="1"/>
    </xf>
    <xf numFmtId="168" fontId="2" fillId="3" borderId="7" xfId="0" applyNumberFormat="1" applyFont="1" applyFill="1" applyBorder="1">
      <alignment wrapText="1"/>
    </xf>
    <xf numFmtId="0" fontId="0" fillId="0" borderId="0" xfId="0">
      <alignment wrapText="1"/>
    </xf>
    <xf numFmtId="0" fontId="6" fillId="2" borderId="1" xfId="0" applyFont="1" applyFill="1" applyBorder="1">
      <alignment wrapText="1"/>
    </xf>
    <xf numFmtId="0" fontId="6" fillId="2" borderId="2" xfId="0" applyFont="1" applyFill="1" applyBorder="1">
      <alignment wrapText="1"/>
    </xf>
    <xf numFmtId="0" fontId="0" fillId="0" borderId="0" xfId="0">
      <alignment wrapText="1"/>
    </xf>
    <xf numFmtId="0" fontId="1" fillId="3" borderId="2" xfId="0" applyFont="1" applyFill="1" applyBorder="1">
      <alignment wrapText="1"/>
    </xf>
    <xf numFmtId="0" fontId="0" fillId="0" borderId="0" xfId="0" applyFont="1" applyAlignment="1">
      <alignment vertical="center" wrapText="1"/>
    </xf>
    <xf numFmtId="0" fontId="0" fillId="0" borderId="0" xfId="0" applyAlignment="1">
      <alignment vertical="center" wrapText="1"/>
    </xf>
    <xf numFmtId="0" fontId="0" fillId="0" borderId="0" xfId="0">
      <alignment wrapText="1"/>
    </xf>
    <xf numFmtId="0" fontId="5" fillId="0" borderId="0" xfId="11" applyAlignment="1">
      <alignment horizontal="center" vertical="center" wrapText="1"/>
    </xf>
    <xf numFmtId="0" fontId="6" fillId="2" borderId="1" xfId="0" applyFont="1" applyFill="1" applyBorder="1">
      <alignment wrapText="1"/>
    </xf>
    <xf numFmtId="0" fontId="6" fillId="2" borderId="2" xfId="0" applyFont="1" applyFill="1" applyBorder="1">
      <alignment wrapText="1"/>
    </xf>
    <xf numFmtId="0" fontId="2" fillId="3" borderId="2" xfId="0" applyFont="1" applyFill="1" applyBorder="1">
      <alignment wrapText="1"/>
    </xf>
    <xf numFmtId="0" fontId="2" fillId="0" borderId="2" xfId="0" applyFont="1" applyBorder="1">
      <alignment wrapText="1"/>
    </xf>
    <xf numFmtId="0" fontId="2" fillId="3" borderId="5" xfId="0" applyFont="1" applyFill="1" applyBorder="1">
      <alignment wrapText="1"/>
    </xf>
    <xf numFmtId="0" fontId="0" fillId="0" borderId="0" xfId="0">
      <alignment wrapText="1"/>
    </xf>
    <xf numFmtId="0" fontId="4" fillId="0" borderId="0" xfId="2">
      <alignment horizontal="left"/>
    </xf>
    <xf numFmtId="0" fontId="4" fillId="0" borderId="0" xfId="2" applyAlignment="1">
      <alignment horizontal="left" vertical="center"/>
    </xf>
    <xf numFmtId="0" fontId="0" fillId="0" borderId="0" xfId="0" applyFont="1" applyAlignment="1">
      <alignment horizontal="right"/>
    </xf>
    <xf numFmtId="0" fontId="0" fillId="0" borderId="0" xfId="0" applyFont="1" applyAlignment="1">
      <alignment horizontal="right" vertical="center"/>
    </xf>
  </cellXfs>
  <cellStyles count="12">
    <cellStyle name="Comma" xfId="3" builtinId="3" customBuiltin="1"/>
    <cellStyle name="Comma [0]" xfId="4" builtinId="6" customBuiltin="1"/>
    <cellStyle name="Currency" xfId="5" builtinId="4" customBuiltin="1"/>
    <cellStyle name="Currency [0]" xfId="6" builtinId="7" customBuiltin="1"/>
    <cellStyle name="Explanatory Text" xfId="10" builtinId="53" customBuiltin="1"/>
    <cellStyle name="Heading 1" xfId="1" builtinId="16" customBuiltin="1"/>
    <cellStyle name="Heading 2" xfId="2" builtinId="17" customBuiltin="1"/>
    <cellStyle name="Heading 3" xfId="8" builtinId="18" customBuiltin="1"/>
    <cellStyle name="Heading 4" xfId="11" builtinId="19"/>
    <cellStyle name="Normal" xfId="0" builtinId="0" customBuiltin="1"/>
    <cellStyle name="Note" xfId="9" builtinId="10" customBuiltin="1"/>
    <cellStyle name="Percent" xfId="7" builtinId="5" customBuiltin="1"/>
  </cellStyles>
  <dxfs count="46">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0" formatCode="Genera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numFmt numFmtId="0" formatCode="Genera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entury Gothic"/>
        <family val="2"/>
        <scheme val="minor"/>
      </font>
      <numFmt numFmtId="168" formatCode="0.0%"/>
      <border diagonalUp="0" diagonalDown="0" outline="0">
        <left style="thin">
          <color theme="4" tint="0.39994506668294322"/>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entury Gothic"/>
        <scheme val="minor"/>
      </font>
      <border diagonalUp="0" diagonalDown="0" outline="0">
        <left/>
        <right/>
        <top/>
        <bottom/>
      </border>
    </dxf>
    <dxf>
      <font>
        <b val="0"/>
        <i val="0"/>
        <strike val="0"/>
        <condense val="0"/>
        <extend val="0"/>
        <outline val="0"/>
        <shadow val="0"/>
        <u val="none"/>
        <vertAlign val="baseline"/>
        <sz val="11"/>
        <color theme="1"/>
        <name val="Century Gothic"/>
        <family val="2"/>
        <scheme val="minor"/>
      </font>
      <border diagonalUp="0" diagonalDown="0" outline="0">
        <left/>
        <right/>
        <top style="thin">
          <color theme="4" tint="0.39997558519241921"/>
        </top>
        <bottom style="thin">
          <color theme="4" tint="0.39997558519241921"/>
        </bottom>
      </border>
    </dxf>
    <dxf>
      <font>
        <strike val="0"/>
        <outline val="0"/>
        <shadow val="0"/>
        <u val="none"/>
        <vertAlign val="baseline"/>
        <sz val="11"/>
        <color theme="1"/>
        <name val="Century Gothic"/>
        <family val="2"/>
        <scheme val="minor"/>
      </font>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entury Gothic"/>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Grades" displayName="Grades" ref="B10:W15" dataDxfId="45" totalsRowDxfId="43" tableBorderDxfId="44" headerRowCellStyle="Normal">
  <autoFilter ref="B10:W15"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00000000-0010-0000-0000-000001000000}" name="Student Name" totalsRowLabel="Total" dataDxfId="42" totalsRowDxfId="41"/>
    <tableColumn id="2" xr3:uid="{00000000-0010-0000-0000-000002000000}" name="Student ID" dataDxfId="40" totalsRowDxfId="39"/>
    <tableColumn id="3" xr3:uid="{00000000-0010-0000-0000-000003000000}" name="Score" dataDxfId="38">
      <calculatedColumnFormula>(IF(SUM(Grades[[#This Row],[Column6]:[Column22]]),ROUND(SUMPRODUCT($G$8:$W$8,Grades[[#This Row],[Column6]:[Column22]]),2),""))</calculatedColumnFormula>
    </tableColumn>
    <tableColumn id="4" xr3:uid="{00000000-0010-0000-0000-000004000000}" name="Ltr Grade" dataDxfId="37" totalsRowDxfId="36">
      <calculatedColumnFormula>IF(Grades[[#This Row],[Score]]&lt;&gt;"",HLOOKUP(Grades[[#This Row],[Score]],GradeTable,2),"")</calculatedColumnFormula>
    </tableColumn>
    <tableColumn id="5" xr3:uid="{00000000-0010-0000-0000-000005000000}" name="GPA" dataDxfId="35" totalsRowDxfId="34">
      <calculatedColumnFormula>IF(Grades[[#This Row],[Score]]&lt;&gt;"",HLOOKUP(Grades[[#This Row],[Score]],GradeTable,3),"")</calculatedColumnFormula>
    </tableColumn>
    <tableColumn id="6" xr3:uid="{00000000-0010-0000-0000-000006000000}" name="Column6" dataDxfId="33" totalsRowDxfId="32"/>
    <tableColumn id="7" xr3:uid="{00000000-0010-0000-0000-000007000000}" name="Column7" dataDxfId="31" totalsRowDxfId="30"/>
    <tableColumn id="8" xr3:uid="{00000000-0010-0000-0000-000008000000}" name="Column8" dataDxfId="29" totalsRowDxfId="28"/>
    <tableColumn id="9" xr3:uid="{00000000-0010-0000-0000-000009000000}" name="Column9" dataDxfId="27" totalsRowDxfId="26"/>
    <tableColumn id="10" xr3:uid="{00000000-0010-0000-0000-00000A000000}" name="Column10" dataDxfId="25" totalsRowDxfId="24"/>
    <tableColumn id="11" xr3:uid="{00000000-0010-0000-0000-00000B000000}" name="Column11" dataDxfId="23" totalsRowDxfId="22"/>
    <tableColumn id="12" xr3:uid="{00000000-0010-0000-0000-00000C000000}" name="Column12" dataDxfId="21" totalsRowDxfId="20"/>
    <tableColumn id="13" xr3:uid="{00000000-0010-0000-0000-00000D000000}" name="Column13" dataDxfId="19" totalsRowDxfId="18"/>
    <tableColumn id="14" xr3:uid="{00000000-0010-0000-0000-00000E000000}" name="Column14" dataDxfId="17" totalsRowDxfId="16"/>
    <tableColumn id="15" xr3:uid="{00000000-0010-0000-0000-00000F000000}" name="Column15" dataDxfId="15" totalsRowDxfId="14"/>
    <tableColumn id="16" xr3:uid="{00000000-0010-0000-0000-000010000000}" name="Column16" dataDxfId="13" totalsRowDxfId="12"/>
    <tableColumn id="17" xr3:uid="{00000000-0010-0000-0000-000011000000}" name="Column17" dataDxfId="11" totalsRowDxfId="10"/>
    <tableColumn id="18" xr3:uid="{00000000-0010-0000-0000-000012000000}" name="Column18" dataDxfId="9" totalsRowDxfId="8"/>
    <tableColumn id="19" xr3:uid="{00000000-0010-0000-0000-000013000000}" name="Column19" dataDxfId="7" totalsRowDxfId="6"/>
    <tableColumn id="20" xr3:uid="{00000000-0010-0000-0000-000014000000}" name="Column20" dataDxfId="5" totalsRowDxfId="4"/>
    <tableColumn id="21" xr3:uid="{00000000-0010-0000-0000-000015000000}" name="Column21" dataDxfId="3" totalsRowDxfId="2"/>
    <tableColumn id="22" xr3:uid="{00000000-0010-0000-0000-000016000000}" name="Column22" dataDxfId="1" totalsRowDxfId="0"/>
  </tableColumns>
  <tableStyleInfo name="TableStyleMedium2" showFirstColumn="0" showLastColumn="0" showRowStripes="1" showColumnStripes="0"/>
  <extLst>
    <ext xmlns:x14="http://schemas.microsoft.com/office/spreadsheetml/2009/9/main" uri="{504A1905-F514-4f6f-8877-14C23A59335A}">
      <x14:table altTextSummary="Enter Student Name, Student ID, Points, and Assignment names in this table. Score, Percentage, Letter Grade, and Grade Point Average are automatically calculated"/>
    </ext>
  </extLst>
</table>
</file>

<file path=xl/theme/theme1.xml><?xml version="1.0" encoding="utf-8"?>
<a:theme xmlns:a="http://schemas.openxmlformats.org/drawingml/2006/main" name="SchoolAthleticBudget">
  <a:themeElements>
    <a:clrScheme name="Gradebook">
      <a:dk1>
        <a:srgbClr val="000000"/>
      </a:dk1>
      <a:lt1>
        <a:srgbClr val="FFFFFF"/>
      </a:lt1>
      <a:dk2>
        <a:srgbClr val="000000"/>
      </a:dk2>
      <a:lt2>
        <a:srgbClr val="FFFFFF"/>
      </a:lt2>
      <a:accent1>
        <a:srgbClr val="B0381C"/>
      </a:accent1>
      <a:accent2>
        <a:srgbClr val="2B759D"/>
      </a:accent2>
      <a:accent3>
        <a:srgbClr val="D9782E"/>
      </a:accent3>
      <a:accent4>
        <a:srgbClr val="538D32"/>
      </a:accent4>
      <a:accent5>
        <a:srgbClr val="724271"/>
      </a:accent5>
      <a:accent6>
        <a:srgbClr val="DCB330"/>
      </a:accent6>
      <a:hlink>
        <a:srgbClr val="2B759D"/>
      </a:hlink>
      <a:folHlink>
        <a:srgbClr val="724271"/>
      </a:folHlink>
    </a:clrScheme>
    <a:fontScheme name="Gradebook">
      <a:majorFont>
        <a:latin typeface="Corbel"/>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4E85E-7B4A-41AF-B3BB-801DC1C0C450}">
  <dimension ref="B1:B10"/>
  <sheetViews>
    <sheetView showGridLines="0" tabSelected="1" workbookViewId="0"/>
  </sheetViews>
  <sheetFormatPr defaultColWidth="9" defaultRowHeight="13.8" x14ac:dyDescent="0.25"/>
  <cols>
    <col min="1" max="1" width="2.59765625" style="10" customWidth="1"/>
    <col min="2" max="2" width="63.3984375" style="24" customWidth="1"/>
    <col min="3" max="3" width="2.59765625" style="10" customWidth="1"/>
    <col min="4" max="16384" width="9" style="10"/>
  </cols>
  <sheetData>
    <row r="1" spans="2:2" ht="36.15" customHeight="1" x14ac:dyDescent="0.25">
      <c r="B1" s="27" t="s">
        <v>51</v>
      </c>
    </row>
    <row r="2" spans="2:2" ht="27.6" x14ac:dyDescent="0.25">
      <c r="B2" s="26" t="s">
        <v>52</v>
      </c>
    </row>
    <row r="3" spans="2:2" x14ac:dyDescent="0.25">
      <c r="B3" s="26" t="s">
        <v>53</v>
      </c>
    </row>
    <row r="4" spans="2:2" ht="27.6" x14ac:dyDescent="0.25">
      <c r="B4" s="26" t="s">
        <v>46</v>
      </c>
    </row>
    <row r="5" spans="2:2" ht="27.6" x14ac:dyDescent="0.25">
      <c r="B5" s="26" t="s">
        <v>47</v>
      </c>
    </row>
    <row r="6" spans="2:2" ht="27.6" x14ac:dyDescent="0.25">
      <c r="B6" s="26" t="s">
        <v>48</v>
      </c>
    </row>
    <row r="7" spans="2:2" ht="69" x14ac:dyDescent="0.25">
      <c r="B7" s="26" t="s">
        <v>49</v>
      </c>
    </row>
    <row r="8" spans="2:2" ht="27.6" x14ac:dyDescent="0.25">
      <c r="B8" s="26" t="s">
        <v>55</v>
      </c>
    </row>
    <row r="9" spans="2:2" ht="60" customHeight="1" x14ac:dyDescent="0.25">
      <c r="B9" s="26" t="s">
        <v>50</v>
      </c>
    </row>
    <row r="10" spans="2:2" ht="27.6" x14ac:dyDescent="0.25">
      <c r="B10" s="26" t="s">
        <v>54</v>
      </c>
    </row>
  </sheetData>
  <dataValidations count="2">
    <dataValidation allowBlank="1" showInputMessage="1" showErrorMessage="1" prompt="Instructions to use this workbook is in this worksheet, from cell B2 to B10 " sqref="A1" xr:uid="{037442C1-38C3-4FD0-9D9A-8414B88A2771}"/>
    <dataValidation allowBlank="1" showInputMessage="1" showErrorMessage="1" prompt="Instructions are in cell B2 to B10, below" sqref="B1" xr:uid="{6C3FE62F-E8D0-4D11-BC1B-8A49836930DB}"/>
  </dataValidations>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pageSetUpPr autoPageBreaks="0" fitToPage="1"/>
  </sheetPr>
  <dimension ref="A1:W20"/>
  <sheetViews>
    <sheetView showGridLines="0" workbookViewId="0"/>
  </sheetViews>
  <sheetFormatPr defaultRowHeight="16.5" customHeight="1" x14ac:dyDescent="0.25"/>
  <cols>
    <col min="1" max="1" width="1.59765625" style="19" customWidth="1"/>
    <col min="2" max="2" width="36.3984375" customWidth="1"/>
    <col min="3" max="3" width="17.59765625" customWidth="1"/>
    <col min="4" max="4" width="18.59765625" customWidth="1"/>
    <col min="5" max="5" width="17.59765625" customWidth="1"/>
    <col min="6" max="6" width="13.19921875" customWidth="1"/>
    <col min="7" max="10" width="11.19921875" customWidth="1"/>
    <col min="11" max="23" width="12.19921875" customWidth="1"/>
  </cols>
  <sheetData>
    <row r="1" spans="2:23" ht="36.15" customHeight="1" x14ac:dyDescent="0.5">
      <c r="B1" s="1" t="s">
        <v>25</v>
      </c>
      <c r="C1" s="1"/>
      <c r="D1" s="1"/>
      <c r="E1" s="1"/>
      <c r="F1" s="1"/>
      <c r="G1" s="1"/>
      <c r="H1" s="1"/>
      <c r="I1" s="1"/>
      <c r="J1" s="1"/>
      <c r="K1" s="1"/>
      <c r="L1" s="1"/>
      <c r="M1" s="1"/>
      <c r="N1" s="1"/>
      <c r="O1" s="1"/>
      <c r="P1" s="1"/>
      <c r="Q1" s="1"/>
      <c r="R1" s="1"/>
      <c r="S1" s="1"/>
      <c r="T1" s="1"/>
    </row>
    <row r="2" spans="2:23" ht="16.5" customHeight="1" x14ac:dyDescent="0.25">
      <c r="B2" s="25"/>
      <c r="C2" s="25"/>
      <c r="D2" s="25"/>
      <c r="E2" s="25"/>
      <c r="F2" s="25"/>
    </row>
    <row r="3" spans="2:23" ht="16.5" customHeight="1" x14ac:dyDescent="0.25">
      <c r="B3" s="25"/>
      <c r="C3" s="25"/>
      <c r="D3" s="25"/>
      <c r="E3" s="25"/>
      <c r="F3" s="25"/>
      <c r="G3" s="2" t="s">
        <v>0</v>
      </c>
      <c r="H3" s="3">
        <v>0</v>
      </c>
      <c r="I3" s="3">
        <v>0.6</v>
      </c>
      <c r="J3" s="3">
        <v>0.63</v>
      </c>
      <c r="K3" s="3">
        <v>0.67</v>
      </c>
      <c r="L3" s="3">
        <v>0.7</v>
      </c>
      <c r="M3" s="3">
        <v>0.73</v>
      </c>
      <c r="N3" s="3">
        <v>0.77</v>
      </c>
      <c r="O3" s="3">
        <v>0.8</v>
      </c>
      <c r="P3" s="3">
        <v>0.83</v>
      </c>
      <c r="Q3" s="3">
        <v>0.87</v>
      </c>
      <c r="R3" s="3">
        <v>0.9</v>
      </c>
      <c r="S3" s="3">
        <v>0.93</v>
      </c>
      <c r="T3" s="3">
        <v>0.97</v>
      </c>
    </row>
    <row r="4" spans="2:23" ht="16.5" customHeight="1" x14ac:dyDescent="0.25">
      <c r="B4" s="25"/>
      <c r="C4" s="25"/>
      <c r="D4" s="25"/>
      <c r="E4" s="25"/>
      <c r="F4" s="25"/>
      <c r="G4" s="4" t="s">
        <v>1</v>
      </c>
      <c r="H4" s="5" t="s">
        <v>2</v>
      </c>
      <c r="I4" s="5" t="s">
        <v>3</v>
      </c>
      <c r="J4" s="5" t="s">
        <v>4</v>
      </c>
      <c r="K4" s="5" t="s">
        <v>5</v>
      </c>
      <c r="L4" s="5" t="s">
        <v>6</v>
      </c>
      <c r="M4" s="5" t="s">
        <v>7</v>
      </c>
      <c r="N4" s="5" t="s">
        <v>8</v>
      </c>
      <c r="O4" s="5" t="s">
        <v>9</v>
      </c>
      <c r="P4" s="5" t="s">
        <v>10</v>
      </c>
      <c r="Q4" s="5" t="s">
        <v>11</v>
      </c>
      <c r="R4" s="5" t="s">
        <v>12</v>
      </c>
      <c r="S4" s="5" t="s">
        <v>13</v>
      </c>
      <c r="T4" s="5" t="s">
        <v>14</v>
      </c>
    </row>
    <row r="5" spans="2:23" ht="16.5" customHeight="1" x14ac:dyDescent="0.25">
      <c r="B5" s="25"/>
      <c r="C5" s="25"/>
      <c r="D5" s="25"/>
      <c r="E5" s="25"/>
      <c r="F5" s="25"/>
      <c r="G5" s="6" t="s">
        <v>15</v>
      </c>
      <c r="H5" s="7">
        <v>0</v>
      </c>
      <c r="I5" s="7">
        <v>0.67</v>
      </c>
      <c r="J5" s="7">
        <v>1</v>
      </c>
      <c r="K5" s="7">
        <v>1.33</v>
      </c>
      <c r="L5" s="7">
        <v>1.67</v>
      </c>
      <c r="M5" s="7">
        <v>2</v>
      </c>
      <c r="N5" s="7">
        <v>2.33</v>
      </c>
      <c r="O5" s="7">
        <v>2.67</v>
      </c>
      <c r="P5" s="7">
        <v>3</v>
      </c>
      <c r="Q5" s="7">
        <v>3.33</v>
      </c>
      <c r="R5" s="7">
        <v>3.67</v>
      </c>
      <c r="S5" s="7">
        <v>4</v>
      </c>
      <c r="T5" s="7">
        <v>4</v>
      </c>
    </row>
    <row r="6" spans="2:23" ht="16.5" customHeight="1" x14ac:dyDescent="0.35">
      <c r="B6" s="34" t="s">
        <v>26</v>
      </c>
      <c r="C6" s="34"/>
      <c r="D6" s="34"/>
      <c r="E6" s="34"/>
      <c r="F6" s="34"/>
    </row>
    <row r="7" spans="2:23" ht="16.5" customHeight="1" x14ac:dyDescent="0.35">
      <c r="B7" s="34" t="s">
        <v>27</v>
      </c>
      <c r="C7" s="34"/>
      <c r="D7" s="34"/>
      <c r="E7" s="36" t="s">
        <v>16</v>
      </c>
      <c r="F7" s="36"/>
      <c r="G7" s="23"/>
      <c r="H7" s="23"/>
      <c r="I7" s="8"/>
      <c r="J7" s="8"/>
      <c r="K7" s="8"/>
      <c r="L7" s="8"/>
      <c r="M7" s="8"/>
      <c r="N7" s="8"/>
      <c r="O7" s="8"/>
      <c r="P7" s="8"/>
      <c r="Q7" s="8"/>
      <c r="R7" s="8"/>
      <c r="S7" s="8"/>
      <c r="T7" s="8"/>
      <c r="U7" s="8"/>
      <c r="V7" s="8"/>
      <c r="W7" s="8"/>
    </row>
    <row r="8" spans="2:23" ht="16.5" customHeight="1" x14ac:dyDescent="0.25">
      <c r="B8" s="35" t="s">
        <v>28</v>
      </c>
      <c r="C8" s="35"/>
      <c r="D8" s="35"/>
      <c r="E8" s="36" t="s">
        <v>24</v>
      </c>
      <c r="F8" s="36"/>
      <c r="G8" s="9"/>
      <c r="H8" s="9"/>
      <c r="I8" s="9"/>
      <c r="J8" s="9"/>
      <c r="K8" s="9"/>
      <c r="L8" s="9"/>
      <c r="M8" s="9"/>
      <c r="N8" s="9"/>
      <c r="O8" s="9"/>
      <c r="P8" s="9"/>
      <c r="Q8" s="9"/>
      <c r="R8" s="9"/>
      <c r="S8" s="9"/>
      <c r="T8" s="9"/>
      <c r="U8" s="9"/>
      <c r="V8" s="9"/>
      <c r="W8" s="9"/>
    </row>
    <row r="9" spans="2:23" ht="16.5" customHeight="1" x14ac:dyDescent="0.25">
      <c r="B9" s="35"/>
      <c r="C9" s="35"/>
      <c r="D9" s="35"/>
      <c r="E9" s="37" t="str">
        <f>"Total percentage: "&amp;SUM(G8:BZ8)*100&amp;"%"</f>
        <v>Total percentage: 0%</v>
      </c>
      <c r="F9" s="37"/>
      <c r="G9" s="10"/>
      <c r="H9" s="10"/>
      <c r="I9" s="10"/>
      <c r="J9" s="10"/>
      <c r="K9" s="10"/>
      <c r="L9" s="10"/>
      <c r="M9" s="10"/>
      <c r="N9" s="10"/>
      <c r="O9" s="10"/>
      <c r="P9" s="10"/>
      <c r="Q9" s="10"/>
      <c r="R9" s="10"/>
      <c r="S9" s="10"/>
      <c r="T9" s="10"/>
      <c r="U9" s="10"/>
      <c r="V9" s="10"/>
      <c r="W9" s="10"/>
    </row>
    <row r="10" spans="2:23" ht="16.5" customHeight="1" x14ac:dyDescent="0.25">
      <c r="B10" s="20" t="s">
        <v>17</v>
      </c>
      <c r="C10" s="21" t="s">
        <v>18</v>
      </c>
      <c r="D10" s="12" t="s">
        <v>0</v>
      </c>
      <c r="E10" s="11" t="s">
        <v>1</v>
      </c>
      <c r="F10" s="11" t="s">
        <v>15</v>
      </c>
      <c r="G10" s="22" t="s">
        <v>29</v>
      </c>
      <c r="H10" s="22" t="s">
        <v>30</v>
      </c>
      <c r="I10" s="22" t="s">
        <v>31</v>
      </c>
      <c r="J10" s="22" t="s">
        <v>32</v>
      </c>
      <c r="K10" s="22" t="s">
        <v>33</v>
      </c>
      <c r="L10" s="22" t="s">
        <v>34</v>
      </c>
      <c r="M10" s="22" t="s">
        <v>35</v>
      </c>
      <c r="N10" s="22" t="s">
        <v>36</v>
      </c>
      <c r="O10" s="22" t="s">
        <v>37</v>
      </c>
      <c r="P10" s="22" t="s">
        <v>38</v>
      </c>
      <c r="Q10" s="22" t="s">
        <v>39</v>
      </c>
      <c r="R10" s="22" t="s">
        <v>40</v>
      </c>
      <c r="S10" s="22" t="s">
        <v>41</v>
      </c>
      <c r="T10" s="22" t="s">
        <v>42</v>
      </c>
      <c r="U10" s="22" t="s">
        <v>43</v>
      </c>
      <c r="V10" s="22" t="s">
        <v>44</v>
      </c>
      <c r="W10" s="22" t="s">
        <v>45</v>
      </c>
    </row>
    <row r="11" spans="2:23" ht="16.5" customHeight="1" x14ac:dyDescent="0.25">
      <c r="B11" s="13"/>
      <c r="C11" s="13"/>
      <c r="D11" s="14" t="str">
        <f>(IF(SUM(Grades[[#This Row],[Column6]:[Column22]]),ROUND(SUMPRODUCT($G$8:$W$8,Grades[[#This Row],[Column6]:[Column22]]),2),""))</f>
        <v/>
      </c>
      <c r="E11" s="13" t="str">
        <f>IF(Grades[[#This Row],[Score]]&lt;&gt;"",HLOOKUP(Grades[[#This Row],[Score]],GradeTable,2),"")</f>
        <v/>
      </c>
      <c r="F11" s="13" t="str">
        <f>IF(Grades[[#This Row],[Score]]&lt;&gt;"",HLOOKUP(Grades[[#This Row],[Score]],GradeTable,3),"")</f>
        <v/>
      </c>
      <c r="G11" s="15"/>
      <c r="H11" s="15"/>
      <c r="I11" s="15"/>
      <c r="J11" s="15"/>
      <c r="K11" s="15"/>
      <c r="L11" s="15"/>
      <c r="M11" s="15"/>
      <c r="N11" s="15"/>
      <c r="O11" s="15"/>
      <c r="P11" s="15"/>
      <c r="Q11" s="15"/>
      <c r="R11" s="15"/>
      <c r="S11" s="15"/>
      <c r="T11" s="15"/>
      <c r="U11" s="15"/>
      <c r="V11" s="15"/>
      <c r="W11" s="15"/>
    </row>
    <row r="12" spans="2:23" ht="16.5" customHeight="1" x14ac:dyDescent="0.25">
      <c r="B12" s="16"/>
      <c r="C12" s="16"/>
      <c r="D12" s="14" t="str">
        <f>(IF(SUM(Grades[[#This Row],[Column6]:[Column22]]),ROUND(SUMPRODUCT($G$8:$W$8,Grades[[#This Row],[Column6]:[Column22]]),2),""))</f>
        <v/>
      </c>
      <c r="E12" s="16" t="str">
        <f>IF(Grades[[#This Row],[Score]]&lt;&gt;"",HLOOKUP(Grades[[#This Row],[Score]],GradeTable,2),"")</f>
        <v/>
      </c>
      <c r="F12" s="16" t="str">
        <f>IF(Grades[[#This Row],[Score]]&lt;&gt;"",HLOOKUP(Grades[[#This Row],[Score]],GradeTable,3),"")</f>
        <v/>
      </c>
      <c r="G12" s="17"/>
      <c r="H12" s="17"/>
      <c r="I12" s="17"/>
      <c r="J12" s="17"/>
      <c r="K12" s="17"/>
      <c r="L12" s="17"/>
      <c r="M12" s="17"/>
      <c r="N12" s="17"/>
      <c r="O12" s="17"/>
      <c r="P12" s="17"/>
      <c r="Q12" s="17"/>
      <c r="R12" s="17"/>
      <c r="S12" s="17"/>
      <c r="T12" s="17"/>
      <c r="U12" s="17"/>
      <c r="V12" s="17"/>
      <c r="W12" s="17"/>
    </row>
    <row r="13" spans="2:23" ht="16.5" customHeight="1" x14ac:dyDescent="0.25">
      <c r="B13" s="13"/>
      <c r="C13" s="13"/>
      <c r="D13" s="18" t="str">
        <f>(IF(SUM(Grades[[#This Row],[Column6]:[Column22]]),ROUND(SUMPRODUCT($G$8:$W$8,Grades[[#This Row],[Column6]:[Column22]]),2),""))</f>
        <v/>
      </c>
      <c r="E13" s="13" t="str">
        <f>IF(Grades[[#This Row],[Score]]&lt;&gt;"",HLOOKUP(Grades[[#This Row],[Score]],GradeTable,2),"")</f>
        <v/>
      </c>
      <c r="F13" s="13" t="str">
        <f>IF(Grades[[#This Row],[Score]]&lt;&gt;"",HLOOKUP(Grades[[#This Row],[Score]],GradeTable,3),"")</f>
        <v/>
      </c>
      <c r="G13" s="15"/>
      <c r="H13" s="15"/>
      <c r="I13" s="15"/>
      <c r="J13" s="15"/>
      <c r="K13" s="15"/>
      <c r="L13" s="15"/>
      <c r="M13" s="15"/>
      <c r="N13" s="15"/>
      <c r="O13" s="15"/>
      <c r="P13" s="15"/>
      <c r="Q13" s="15"/>
      <c r="R13" s="15"/>
      <c r="S13" s="15"/>
      <c r="T13" s="15"/>
      <c r="U13" s="15"/>
      <c r="V13" s="15"/>
      <c r="W13" s="15"/>
    </row>
    <row r="14" spans="2:23" ht="16.5" customHeight="1" x14ac:dyDescent="0.25">
      <c r="B14" s="16"/>
      <c r="C14" s="16"/>
      <c r="D14" s="14" t="str">
        <f>(IF(SUM(Grades[[#This Row],[Column6]:[Column22]]),ROUND(SUMPRODUCT($G$8:$W$8,Grades[[#This Row],[Column6]:[Column22]]),2),""))</f>
        <v/>
      </c>
      <c r="E14" s="16" t="str">
        <f>IF(Grades[[#This Row],[Score]]&lt;&gt;"",HLOOKUP(Grades[[#This Row],[Score]],GradeTable,2),"")</f>
        <v/>
      </c>
      <c r="F14" s="16" t="str">
        <f>IF(Grades[[#This Row],[Score]]&lt;&gt;"",HLOOKUP(Grades[[#This Row],[Score]],GradeTable,3),"")</f>
        <v/>
      </c>
      <c r="G14" s="17"/>
      <c r="H14" s="17"/>
      <c r="I14" s="17"/>
      <c r="J14" s="17"/>
      <c r="K14" s="17"/>
      <c r="L14" s="17"/>
      <c r="M14" s="17"/>
      <c r="N14" s="17"/>
      <c r="O14" s="17"/>
      <c r="P14" s="17"/>
      <c r="Q14" s="17"/>
      <c r="R14" s="17"/>
      <c r="S14" s="17"/>
      <c r="T14" s="17"/>
      <c r="U14" s="17"/>
      <c r="V14" s="17"/>
      <c r="W14" s="17"/>
    </row>
    <row r="15" spans="2:23" ht="16.5" customHeight="1" x14ac:dyDescent="0.25">
      <c r="B15" s="13"/>
      <c r="C15" s="13"/>
      <c r="D15" s="18" t="str">
        <f>(IF(SUM(Grades[[#This Row],[Column6]:[Column22]]),ROUND(SUMPRODUCT($G$8:$W$8,Grades[[#This Row],[Column6]:[Column22]]),2),""))</f>
        <v/>
      </c>
      <c r="E15" s="13" t="str">
        <f>IF(Grades[[#This Row],[Score]]&lt;&gt;"",HLOOKUP(Grades[[#This Row],[Score]],GradeTable,2),"")</f>
        <v/>
      </c>
      <c r="F15" s="13" t="str">
        <f>IF(Grades[[#This Row],[Score]]&lt;&gt;"",HLOOKUP(Grades[[#This Row],[Score]],GradeTable,3),"")</f>
        <v/>
      </c>
      <c r="G15" s="15"/>
      <c r="H15" s="15"/>
      <c r="I15" s="15"/>
      <c r="J15" s="15"/>
      <c r="K15" s="15"/>
      <c r="L15" s="15"/>
      <c r="M15" s="15"/>
      <c r="N15" s="15"/>
      <c r="O15" s="15"/>
      <c r="P15" s="15"/>
      <c r="Q15" s="15"/>
      <c r="R15" s="15"/>
      <c r="S15" s="15"/>
      <c r="T15" s="15"/>
      <c r="U15" s="15"/>
      <c r="V15" s="15"/>
      <c r="W15" s="15"/>
    </row>
    <row r="16" spans="2:23" ht="16.5" customHeight="1" x14ac:dyDescent="0.25">
      <c r="B16" s="33"/>
      <c r="C16" s="33"/>
      <c r="D16" s="33"/>
      <c r="E16" s="33"/>
      <c r="F16" s="33"/>
    </row>
    <row r="17" spans="2:23" ht="16.5" customHeight="1" x14ac:dyDescent="0.25">
      <c r="B17" s="28" t="s">
        <v>20</v>
      </c>
      <c r="C17" s="29"/>
      <c r="D17" s="11" t="s">
        <v>0</v>
      </c>
      <c r="E17" s="11" t="s">
        <v>1</v>
      </c>
      <c r="F17" s="11" t="s">
        <v>15</v>
      </c>
      <c r="G17" t="s">
        <v>19</v>
      </c>
      <c r="H17" t="s">
        <v>19</v>
      </c>
      <c r="I17" t="s">
        <v>19</v>
      </c>
      <c r="J17" t="s">
        <v>19</v>
      </c>
      <c r="K17" t="s">
        <v>19</v>
      </c>
      <c r="L17" t="s">
        <v>19</v>
      </c>
      <c r="M17" t="s">
        <v>19</v>
      </c>
      <c r="N17" t="s">
        <v>19</v>
      </c>
      <c r="O17" t="s">
        <v>19</v>
      </c>
      <c r="P17" t="s">
        <v>19</v>
      </c>
      <c r="Q17" t="s">
        <v>19</v>
      </c>
    </row>
    <row r="18" spans="2:23" ht="16.5" customHeight="1" x14ac:dyDescent="0.25">
      <c r="B18" s="30" t="s">
        <v>21</v>
      </c>
      <c r="C18" s="30"/>
      <c r="D18" s="15">
        <f>IFERROR(AVERAGE(Grades[[#All],[Score]]),0)</f>
        <v>0</v>
      </c>
      <c r="E18" s="13" t="str">
        <f>IFERROR(HLOOKUP(D18,GradeTable,2),"")</f>
        <v>F</v>
      </c>
      <c r="F18" s="13">
        <f>IFERROR(AVERAGE(Grades[[#All],[GPA]]),0)</f>
        <v>0</v>
      </c>
      <c r="G18" t="s">
        <v>19</v>
      </c>
      <c r="H18" t="s">
        <v>19</v>
      </c>
      <c r="I18" t="s">
        <v>19</v>
      </c>
      <c r="J18" t="s">
        <v>19</v>
      </c>
      <c r="K18" t="s">
        <v>19</v>
      </c>
      <c r="L18" t="s">
        <v>19</v>
      </c>
      <c r="M18" t="s">
        <v>19</v>
      </c>
      <c r="N18" t="s">
        <v>19</v>
      </c>
      <c r="O18" t="s">
        <v>19</v>
      </c>
      <c r="P18" t="s">
        <v>19</v>
      </c>
      <c r="Q18" t="s">
        <v>19</v>
      </c>
      <c r="R18" t="s">
        <v>19</v>
      </c>
      <c r="S18" t="s">
        <v>19</v>
      </c>
      <c r="T18" t="s">
        <v>19</v>
      </c>
      <c r="U18" t="s">
        <v>19</v>
      </c>
      <c r="V18" t="s">
        <v>19</v>
      </c>
      <c r="W18" t="s">
        <v>19</v>
      </c>
    </row>
    <row r="19" spans="2:23" ht="16.5" customHeight="1" x14ac:dyDescent="0.25">
      <c r="B19" s="31" t="s">
        <v>22</v>
      </c>
      <c r="C19" s="31"/>
      <c r="D19" s="17">
        <f>IFERROR(MAX(Grades[[#All],[Score]]),0)</f>
        <v>0</v>
      </c>
      <c r="E19" s="16" t="str">
        <f>IFERROR(HLOOKUP(D19,GradeTable,2),"")</f>
        <v>F</v>
      </c>
      <c r="F19" s="16">
        <f>IFERROR(MAX(Grades[[#All],[GPA]]),0)</f>
        <v>0</v>
      </c>
      <c r="G19" t="s">
        <v>19</v>
      </c>
      <c r="H19" t="s">
        <v>19</v>
      </c>
      <c r="I19" t="s">
        <v>19</v>
      </c>
      <c r="J19" t="s">
        <v>19</v>
      </c>
      <c r="K19" t="s">
        <v>19</v>
      </c>
      <c r="L19" t="s">
        <v>19</v>
      </c>
      <c r="M19" t="s">
        <v>19</v>
      </c>
      <c r="N19" t="s">
        <v>19</v>
      </c>
      <c r="O19" t="s">
        <v>19</v>
      </c>
      <c r="P19" t="s">
        <v>19</v>
      </c>
      <c r="Q19" t="s">
        <v>19</v>
      </c>
      <c r="R19" t="s">
        <v>19</v>
      </c>
      <c r="S19" t="s">
        <v>19</v>
      </c>
      <c r="T19" t="s">
        <v>19</v>
      </c>
      <c r="U19" t="s">
        <v>19</v>
      </c>
      <c r="V19" t="s">
        <v>19</v>
      </c>
      <c r="W19" t="s">
        <v>19</v>
      </c>
    </row>
    <row r="20" spans="2:23" ht="16.5" customHeight="1" x14ac:dyDescent="0.25">
      <c r="B20" s="32" t="s">
        <v>23</v>
      </c>
      <c r="C20" s="32"/>
      <c r="D20" s="15">
        <f>IFERROR(MIN(Grades[[#All],[Score]]),0)</f>
        <v>0</v>
      </c>
      <c r="E20" s="13" t="str">
        <f>IFERROR(HLOOKUP(D20,GradeTable,2),"")</f>
        <v>F</v>
      </c>
      <c r="F20" s="13">
        <f>IFERROR(MIN(Grades[[#All],[GPA]]),0)</f>
        <v>0</v>
      </c>
      <c r="G20" t="s">
        <v>19</v>
      </c>
      <c r="H20" t="s">
        <v>19</v>
      </c>
      <c r="I20" t="s">
        <v>19</v>
      </c>
      <c r="J20" t="s">
        <v>19</v>
      </c>
      <c r="K20" t="s">
        <v>19</v>
      </c>
      <c r="L20" t="s">
        <v>19</v>
      </c>
      <c r="M20" t="s">
        <v>19</v>
      </c>
      <c r="N20" t="s">
        <v>19</v>
      </c>
      <c r="O20" t="s">
        <v>19</v>
      </c>
      <c r="P20" t="s">
        <v>19</v>
      </c>
      <c r="Q20" t="s">
        <v>19</v>
      </c>
      <c r="R20" t="s">
        <v>19</v>
      </c>
      <c r="S20" t="s">
        <v>19</v>
      </c>
      <c r="T20" t="s">
        <v>19</v>
      </c>
      <c r="U20" t="s">
        <v>19</v>
      </c>
      <c r="V20" t="s">
        <v>19</v>
      </c>
      <c r="W20" t="s">
        <v>19</v>
      </c>
    </row>
  </sheetData>
  <mergeCells count="11">
    <mergeCell ref="B6:F6"/>
    <mergeCell ref="B7:D7"/>
    <mergeCell ref="B8:D9"/>
    <mergeCell ref="E7:F7"/>
    <mergeCell ref="E8:F8"/>
    <mergeCell ref="E9:F9"/>
    <mergeCell ref="B17:C17"/>
    <mergeCell ref="B18:C18"/>
    <mergeCell ref="B19:C19"/>
    <mergeCell ref="B20:C20"/>
    <mergeCell ref="B16:F16"/>
  </mergeCells>
  <phoneticPr fontId="0" type="noConversion"/>
  <dataValidations xWindow="914" yWindow="513" count="22">
    <dataValidation allowBlank="1" showInputMessage="1" showErrorMessage="1" prompt="Create a Teachers Grade Book based on percentage in this worksheet. Enter School Name in cell B1, students detail in Grade table, and Score, Grade and GPA in cells G3 to T5" sqref="A1" xr:uid="{00000000-0002-0000-0000-000000000000}"/>
    <dataValidation allowBlank="1" showInputMessage="1" showErrorMessage="1" prompt="Enter School Name in this cell, teacher and course details in cells B6 to B8, and assignment details in cell E7 and E8. Total percentage is automatically calculated in cell E9" sqref="B1" xr:uid="{00000000-0002-0000-0000-000001000000}"/>
    <dataValidation allowBlank="1" showInputMessage="1" showErrorMessage="1" prompt="Enter Teacher Name in this cell" sqref="B6" xr:uid="{00000000-0002-0000-0000-000002000000}"/>
    <dataValidation allowBlank="1" showInputMessage="1" showErrorMessage="1" prompt="Enter Class or Project name in this cell" sqref="B7" xr:uid="{00000000-0002-0000-0000-000003000000}"/>
    <dataValidation allowBlank="1" showInputMessage="1" showErrorMessage="1" prompt="Enter Year or Semester or Quarter in this cell" sqref="B8" xr:uid="{00000000-0002-0000-0000-000004000000}"/>
    <dataValidation allowBlank="1" showInputMessage="1" showErrorMessage="1" prompt="Score is automatically calculated in this column under this heading. Score is not valid until 100 percent of tests and assignments are completed" sqref="D10" xr:uid="{00000000-0002-0000-0000-000005000000}"/>
    <dataValidation allowBlank="1" showInputMessage="1" showErrorMessage="1" prompt="Letter Grade is automatically calculated in this column under this heading. Ltr Grade is not valid until 100 percent of tests and assignments are completed" sqref="E10" xr:uid="{00000000-0002-0000-0000-000006000000}"/>
    <dataValidation allowBlank="1" showInputMessage="1" showErrorMessage="1" prompt="Grade Point Average is automatically calculated in this column under this heading. GPA is not valid until 100 percent of tests and assignments are completed" sqref="F10" xr:uid="{00000000-0002-0000-0000-000007000000}"/>
    <dataValidation allowBlank="1" showInputMessage="1" showErrorMessage="1" prompt="Enter Score in this row, from cells H3 through T3" sqref="G3" xr:uid="{00000000-0002-0000-0000-000008000000}"/>
    <dataValidation allowBlank="1" showInputMessage="1" showErrorMessage="1" prompt="Enter Letter Grade in this row, from cells H4 through T4" sqref="G4" xr:uid="{00000000-0002-0000-0000-000009000000}"/>
    <dataValidation allowBlank="1" showInputMessage="1" showErrorMessage="1" prompt="Enter GPA in this row, from cells H5 through T5" sqref="G5" xr:uid="{00000000-0002-0000-0000-00000A000000}"/>
    <dataValidation allowBlank="1" showInputMessage="1" showErrorMessage="1" prompt="Total percentage is automatically calculated in this cell. Enter details in table starting in cell B10" sqref="E9:F9" xr:uid="{00000000-0002-0000-0000-00000B000000}"/>
    <dataValidation allowBlank="1" showInputMessage="1" showErrorMessage="1" prompt="Class Summary titles are in this column under this heading, cells B18 through B20" sqref="B17" xr:uid="{00000000-0002-0000-0000-00000C000000}"/>
    <dataValidation allowBlank="1" showInputMessage="1" showErrorMessage="1" prompt="Score is automatically updated in this column under this heading, cells D18 through D20" sqref="D17" xr:uid="{00000000-0002-0000-0000-00000D000000}"/>
    <dataValidation allowBlank="1" showInputMessage="1" showErrorMessage="1" prompt="Ltr Grade is automatically updated in this column under this heading, cells E18 through E20" sqref="E17" xr:uid="{00000000-0002-0000-0000-00000E000000}"/>
    <dataValidation allowBlank="1" showInputMessage="1" showErrorMessage="1" prompt="GPA is automatically updated in this column under this heading, cells F18 through F20" sqref="F17" xr:uid="{00000000-0002-0000-0000-00000F000000}"/>
    <dataValidation allowBlank="1" showInputMessage="1" showErrorMessage="1" prompt="Average, Highest and Lowest Scores are automatically updated in cells below" sqref="B16:F16" xr:uid="{00000000-0002-0000-0000-000010000000}"/>
    <dataValidation allowBlank="1" showInputMessage="1" showErrorMessage="1" prompt="Enter Student Name in this column under this heading" sqref="B10" xr:uid="{00000000-0002-0000-0000-000011000000}"/>
    <dataValidation allowBlank="1" showInputMessage="1" showErrorMessage="1" prompt="Enter Student ID in this column under this heading" sqref="C10" xr:uid="{00000000-0002-0000-0000-000012000000}"/>
    <dataValidation allowBlank="1" showInputMessage="1" showErrorMessage="1" prompt="Enter Assignment or Test Name in cells at right, from cell G7 through W7. Enter same assignment or test names as column headers in table starting in cell B10, in column G through W" sqref="E7:F7" xr:uid="{00000000-0002-0000-0000-000013000000}"/>
    <dataValidation allowBlank="1" showInputMessage="1" showErrorMessage="1" prompt="Enter Percentage in cells at right, from G8 through W8 for assignments entered in cells above. Percentage should total 100 percent" sqref="E8:F8" xr:uid="{00000000-0002-0000-0000-000014000000}"/>
    <dataValidation allowBlank="1" showInputMessage="1" showErrorMessage="1" prompt="Customize column headers with the Assignment or Test Names entered in cells G7 through W7, and details in this column under this heading" sqref="G10:W10" xr:uid="{00000000-0002-0000-0000-000015000000}"/>
  </dataValidations>
  <printOptions horizontalCentered="1"/>
  <pageMargins left="0.4" right="0.4" top="0.4" bottom="0.4" header="0.3" footer="0.3"/>
  <pageSetup scale="45" fitToHeight="0" orientation="landscape" r:id="rId1"/>
  <headerFooter differentFirst="1" alignWithMargins="0">
    <oddFooter>Page &amp;P of &amp;N</oddFooter>
  </headerFooter>
  <ignoredErrors>
    <ignoredError sqref="D11:D15 E9" emptyCellReference="1"/>
  </ignoredErrors>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1c2eb7a32e66fb6e4260f3771546a5e2">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04e1f6479c48b08974ba73b5ca973489"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xml><?xml version="1.0" encoding="utf-8"?>
<ds:datastoreItem xmlns:ds="http://schemas.openxmlformats.org/officeDocument/2006/customXml" ds:itemID="{925850DB-005B-4D51-BDD8-F8850E011793}"/>
</file>

<file path=customXml/itemProps2.xml><?xml version="1.0" encoding="utf-8"?>
<ds:datastoreItem xmlns:ds="http://schemas.openxmlformats.org/officeDocument/2006/customXml" ds:itemID="{3DFA499A-7F32-41B4-9793-963785032A8E}"/>
</file>

<file path=customXml/itemProps3.xml><?xml version="1.0" encoding="utf-8"?>
<ds:datastoreItem xmlns:ds="http://schemas.openxmlformats.org/officeDocument/2006/customXml" ds:itemID="{58C6637C-73AB-4DC0-BA2A-AD08715EC78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HOW TO USE THIS WORKBOOK</vt:lpstr>
      <vt:lpstr>GRADE BOOK</vt:lpstr>
      <vt:lpstr>GradeTable</vt:lpstr>
      <vt:lpstr>RowTitleRegion1..T5</vt:lpstr>
      <vt:lpstr>RowTitleRegion2..W8</vt:lpstr>
      <vt:lpstr>Title1</vt:lpstr>
      <vt:lpstr>TitleRegion1..F20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2018-12-01T19:03:31Z</dcterms:created>
  <dcterms:modified xsi:type="dcterms:W3CDTF">2018-12-01T19:03:33Z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